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aranjain/Developer/Office/GMB-Lead-Generator-All/"/>
    </mc:Choice>
  </mc:AlternateContent>
  <xr:revisionPtr revIDLastSave="0" documentId="8_{7F3A5417-0B5B-4C49-81C5-CD2AFB244EB9}" xr6:coauthVersionLast="47" xr6:coauthVersionMax="47" xr10:uidLastSave="{00000000-0000-0000-0000-000000000000}"/>
  <bookViews>
    <workbookView xWindow="0" yWindow="780" windowWidth="34200" windowHeight="21460" xr2:uid="{2E397A9D-92C1-544F-BA58-8B1CD434F2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4" i="1"/>
  <c r="N5" i="1"/>
  <c r="N6" i="1"/>
  <c r="N7" i="1"/>
  <c r="K7" i="1"/>
  <c r="L7" i="1" s="1"/>
  <c r="K3" i="1"/>
  <c r="J5" i="1"/>
  <c r="J4" i="1"/>
  <c r="I7" i="1"/>
  <c r="J7" i="1" s="1"/>
  <c r="I6" i="1"/>
  <c r="I5" i="1"/>
  <c r="I4" i="1"/>
  <c r="I3" i="1"/>
  <c r="N3" i="1" s="1"/>
  <c r="F7" i="1"/>
  <c r="F6" i="1"/>
  <c r="K6" i="1" s="1"/>
  <c r="L6" i="1" s="1"/>
  <c r="F5" i="1"/>
  <c r="K5" i="1" s="1"/>
  <c r="L5" i="1" s="1"/>
  <c r="F4" i="1"/>
  <c r="K4" i="1" s="1"/>
  <c r="L4" i="1" s="1"/>
  <c r="F3" i="1"/>
  <c r="I9" i="1" l="1"/>
  <c r="J6" i="1"/>
  <c r="L3" i="1"/>
  <c r="J3" i="1"/>
</calcChain>
</file>

<file path=xl/sharedStrings.xml><?xml version="1.0" encoding="utf-8"?>
<sst xmlns="http://schemas.openxmlformats.org/spreadsheetml/2006/main" count="19" uniqueCount="18">
  <si>
    <t>Regional Serach</t>
  </si>
  <si>
    <t>Keyword</t>
  </si>
  <si>
    <t>Town</t>
  </si>
  <si>
    <t>City</t>
  </si>
  <si>
    <t>State</t>
  </si>
  <si>
    <t>Country</t>
  </si>
  <si>
    <t>No. of leads generated</t>
  </si>
  <si>
    <t xml:space="preserve">Per API Call </t>
  </si>
  <si>
    <t>View Point API</t>
  </si>
  <si>
    <t>No. of APIs Grid Search</t>
  </si>
  <si>
    <t>Leads Generated Per Grid Search API</t>
  </si>
  <si>
    <t>Grid Search API</t>
  </si>
  <si>
    <t>Cost Per Lead</t>
  </si>
  <si>
    <t>Charged From Client</t>
  </si>
  <si>
    <t>Agency Cost</t>
  </si>
  <si>
    <t>Profit</t>
  </si>
  <si>
    <t>Example Keywords</t>
  </si>
  <si>
    <t xml:space="preserve">Costing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</si>
</sst>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2406-1F7A-4048-86AE-39F632826D53}">
  <dimension ref="B1:N9"/>
  <sheetViews>
    <sheetView tabSelected="1" zoomScale="177" workbookViewId="0">
      <selection activeCell="N3" sqref="B1:N9"/>
    </sheetView>
  </sheetViews>
  <sheetFormatPr baseColWidth="10" defaultRowHeight="16" x14ac:dyDescent="0.2"/>
  <cols>
    <col min="1" max="1" width="10.83203125" customWidth="1"/>
    <col min="2" max="2" width="14.1640625" bestFit="1" customWidth="1"/>
    <col min="3" max="3" width="9.5" bestFit="1" customWidth="1"/>
    <col min="4" max="5" width="9.83203125" customWidth="1"/>
    <col min="6" max="6" width="9.33203125" bestFit="1" customWidth="1"/>
    <col min="7" max="7" width="9.83203125" customWidth="1"/>
    <col min="8" max="8" width="10.6640625" bestFit="1" customWidth="1"/>
    <col min="9" max="9" width="6.1640625" bestFit="1" customWidth="1"/>
    <col min="10" max="10" width="8" bestFit="1" customWidth="1"/>
  </cols>
  <sheetData>
    <row r="1" spans="2:14" ht="34" customHeight="1" x14ac:dyDescent="0.2">
      <c r="G1" s="3" t="s">
        <v>7</v>
      </c>
      <c r="H1" s="3"/>
    </row>
    <row r="2" spans="2:14" s="1" customFormat="1" ht="68" x14ac:dyDescent="0.2">
      <c r="B2" s="1" t="s">
        <v>0</v>
      </c>
      <c r="C2" s="1" t="s">
        <v>8</v>
      </c>
      <c r="D2" s="1" t="s">
        <v>9</v>
      </c>
      <c r="E2" s="1" t="s">
        <v>10</v>
      </c>
      <c r="F2" s="1" t="s">
        <v>6</v>
      </c>
      <c r="G2" s="1" t="s">
        <v>8</v>
      </c>
      <c r="H2" s="1" t="s">
        <v>11</v>
      </c>
      <c r="I2" s="1" t="s">
        <v>14</v>
      </c>
      <c r="J2" s="1" t="s">
        <v>12</v>
      </c>
      <c r="K2" s="1" t="s">
        <v>13</v>
      </c>
      <c r="L2" s="1" t="s">
        <v>15</v>
      </c>
      <c r="M2" s="1" t="s">
        <v>16</v>
      </c>
      <c r="N2" s="1" t="s">
        <v>17</v>
      </c>
    </row>
    <row r="3" spans="2:14" x14ac:dyDescent="0.2">
      <c r="B3" t="s">
        <v>1</v>
      </c>
      <c r="C3">
        <v>1</v>
      </c>
      <c r="D3">
        <v>0</v>
      </c>
      <c r="E3">
        <v>60</v>
      </c>
      <c r="F3">
        <f>+E3</f>
        <v>60</v>
      </c>
      <c r="G3">
        <v>3.04</v>
      </c>
      <c r="H3">
        <v>3.32</v>
      </c>
      <c r="I3">
        <f>+G3*C3+H3*D3</f>
        <v>3.04</v>
      </c>
      <c r="J3" s="2">
        <f>+I3/F3</f>
        <v>5.0666666666666665E-2</v>
      </c>
      <c r="K3">
        <f>+F3</f>
        <v>60</v>
      </c>
      <c r="L3">
        <f>K3-I3</f>
        <v>56.96</v>
      </c>
      <c r="M3">
        <v>11</v>
      </c>
      <c r="N3">
        <f>M3*I3</f>
        <v>33.44</v>
      </c>
    </row>
    <row r="4" spans="2:14" x14ac:dyDescent="0.2">
      <c r="B4" t="s">
        <v>2</v>
      </c>
      <c r="C4">
        <v>1</v>
      </c>
      <c r="D4">
        <v>1</v>
      </c>
      <c r="E4">
        <v>60</v>
      </c>
      <c r="F4">
        <f>+E4</f>
        <v>60</v>
      </c>
      <c r="G4">
        <v>3.04</v>
      </c>
      <c r="H4">
        <v>3.32</v>
      </c>
      <c r="I4">
        <f t="shared" ref="I4:I7" si="0">+G4*C4+H4*D4</f>
        <v>6.3599999999999994</v>
      </c>
      <c r="J4" s="2">
        <f t="shared" ref="J4:J7" si="1">+I4/F4</f>
        <v>0.106</v>
      </c>
      <c r="K4">
        <f t="shared" ref="K4:K7" si="2">+F4</f>
        <v>60</v>
      </c>
      <c r="L4">
        <f>K4-I4</f>
        <v>53.64</v>
      </c>
      <c r="M4">
        <v>11</v>
      </c>
      <c r="N4">
        <f t="shared" ref="N4:N7" si="3">M4*I4</f>
        <v>69.959999999999994</v>
      </c>
    </row>
    <row r="5" spans="2:14" x14ac:dyDescent="0.2">
      <c r="B5" t="s">
        <v>3</v>
      </c>
      <c r="C5">
        <v>1</v>
      </c>
      <c r="D5">
        <v>4</v>
      </c>
      <c r="E5">
        <v>60</v>
      </c>
      <c r="F5">
        <f>+E5*D5</f>
        <v>240</v>
      </c>
      <c r="G5">
        <v>3.04</v>
      </c>
      <c r="H5">
        <v>3.32</v>
      </c>
      <c r="I5">
        <f t="shared" si="0"/>
        <v>16.32</v>
      </c>
      <c r="J5" s="2">
        <f t="shared" si="1"/>
        <v>6.8000000000000005E-2</v>
      </c>
      <c r="K5">
        <f t="shared" si="2"/>
        <v>240</v>
      </c>
      <c r="L5">
        <f>K5-I5</f>
        <v>223.68</v>
      </c>
      <c r="M5">
        <v>11</v>
      </c>
      <c r="N5">
        <f t="shared" si="3"/>
        <v>179.52</v>
      </c>
    </row>
    <row r="6" spans="2:14" x14ac:dyDescent="0.2">
      <c r="B6" t="s">
        <v>4</v>
      </c>
      <c r="C6">
        <v>1</v>
      </c>
      <c r="D6">
        <v>9</v>
      </c>
      <c r="E6">
        <v>60</v>
      </c>
      <c r="F6">
        <f>+E6*D6</f>
        <v>540</v>
      </c>
      <c r="G6">
        <v>3.04</v>
      </c>
      <c r="H6">
        <v>3.32</v>
      </c>
      <c r="I6">
        <f t="shared" si="0"/>
        <v>32.92</v>
      </c>
      <c r="J6" s="2">
        <f t="shared" si="1"/>
        <v>6.0962962962962969E-2</v>
      </c>
      <c r="K6">
        <f t="shared" si="2"/>
        <v>540</v>
      </c>
      <c r="L6">
        <f>K6-I6</f>
        <v>507.08</v>
      </c>
      <c r="M6">
        <v>11</v>
      </c>
      <c r="N6">
        <f t="shared" si="3"/>
        <v>362.12</v>
      </c>
    </row>
    <row r="7" spans="2:14" x14ac:dyDescent="0.2">
      <c r="B7" t="s">
        <v>5</v>
      </c>
      <c r="C7">
        <v>1</v>
      </c>
      <c r="D7">
        <v>25</v>
      </c>
      <c r="E7">
        <v>60</v>
      </c>
      <c r="F7">
        <f>+E7*D7</f>
        <v>1500</v>
      </c>
      <c r="G7">
        <v>3.04</v>
      </c>
      <c r="H7">
        <v>3.32</v>
      </c>
      <c r="I7">
        <f t="shared" si="0"/>
        <v>86.04</v>
      </c>
      <c r="J7" s="2">
        <f t="shared" si="1"/>
        <v>5.7360000000000001E-2</v>
      </c>
      <c r="K7">
        <f t="shared" si="2"/>
        <v>1500</v>
      </c>
      <c r="L7">
        <f>K7-I7</f>
        <v>1413.96</v>
      </c>
      <c r="M7">
        <v>11</v>
      </c>
      <c r="N7">
        <f t="shared" si="3"/>
        <v>946.44</v>
      </c>
    </row>
    <row r="8" spans="2:14" x14ac:dyDescent="0.2">
      <c r="N8">
        <f>SUM(N3:N7)</f>
        <v>1591.48</v>
      </c>
    </row>
    <row r="9" spans="2:14" x14ac:dyDescent="0.2">
      <c r="I9">
        <f>+I7*180</f>
        <v>15487.2</v>
      </c>
    </row>
  </sheetData>
  <mergeCells count="1">
    <mergeCell ref="G1:H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Taaran Jain</dc:creator>
  <cp:lastModifiedBy>Taaran Jain</cp:lastModifiedBy>
  <dcterms:created xsi:type="dcterms:W3CDTF">2026-06-08T07:17:25Z</dcterms:created>
  <dcterms:modified xsi:type="dcterms:W3CDTF">2026-06-08T09:13:32Z</dcterms:modified>
</cp:coreProperties>
</file>